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73e6ee417fa54d8c/Documents/2026/Excel/"/>
    </mc:Choice>
  </mc:AlternateContent>
  <xr:revisionPtr revIDLastSave="268" documentId="14_{A82FD212-A8DE-48DE-88D8-EECAE53C3129}" xr6:coauthVersionLast="47" xr6:coauthVersionMax="47" xr10:uidLastSave="{10D36A30-09DE-47A1-AC7B-65204F3BFB83}"/>
  <bookViews>
    <workbookView xWindow="-110" yWindow="-110" windowWidth="19420" windowHeight="10300" activeTab="3" xr2:uid="{00000000-000D-0000-FFFF-FFFF00000000}"/>
  </bookViews>
  <sheets>
    <sheet name="bike_buyers" sheetId="1" r:id="rId1"/>
    <sheet name="Working Sheet" sheetId="2" r:id="rId2"/>
    <sheet name="Pivot Tables" sheetId="5" r:id="rId3"/>
    <sheet name="Dashboard" sheetId="3"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<sst xmlns="http://schemas.openxmlformats.org/spreadsheetml/2006/main" count="16268" uniqueCount="52">
  <si>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</si>
  <si>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</si>
  <si>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</si>
  <si>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</si>
  <si>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</si>
  <si>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</si>
  <si>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</si>
  <si>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</si>
  <si>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</si>
  <si>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</si>
  <si>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</si>
  <si>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</si>
  <si>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</si>
  <si>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</si>
  <si>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</si>
  <si>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</si>
  <si>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</si>
  <si>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</si>
  <si>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</si>
  <si>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</si>
  <si>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</si>
  <si>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</si>
  <si>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</si>
  <si>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</si>
  <si>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</si>
  <si>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</si>
  <si>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</si>
  <si>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</si>
  <si>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</si>
  <si>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</si>
  <si>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</si>
  <si>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</si>
  <si>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</si>
  <si>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</si>
  <si>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</si>
  <si>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</si>
  <si>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</si>
  <si>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</si>
  <si>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</si>
  <si>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</si>
  <si>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</si>
  <si>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Dashboard taking a look at average income of individual that bought a bike by gender</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</si>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</sst>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4485-4011-948B-51EC13B104AD}"/>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4485-4011-948B-51EC13B104AD}"/>
            </c:ext>
          </c:extLst>
        </c:ser>
        <c:dLbls>
          <c:dLblPos val="outEnd"/>
          <c:showLegendKey val="0"/>
          <c:showVal val="0"/>
          <c:showCatName val="0"/>
          <c:showSerName val="0"/>
          <c:showPercent val="0"/>
          <c:showBubbleSize val="0"/>
        </c:dLbls>
        <c:gapWidth val="219"/>
        <c:overlap val="-27"/>
        <c:axId val="1265229039"/>
        <c:axId val="1265236239"/>
      </c:barChart>
      <c:catAx>
        <c:axId val="1265229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36239"/>
        <c:crosses val="autoZero"/>
        <c:auto val="1"/>
        <c:lblAlgn val="ctr"/>
        <c:lblOffset val="100"/>
        <c:noMultiLvlLbl val="0"/>
      </c:catAx>
      <c:valAx>
        <c:axId val="126523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29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Tables'!$B$23:$B$24</c:f>
              <c:strCache>
                <c:ptCount val="1"/>
                <c:pt idx="0">
                  <c:v>No</c:v>
                </c:pt>
              </c:strCache>
            </c:strRef>
          </c:tx>
          <c:spPr>
            <a:ln w="28575" cap="rnd">
              <a:solidFill>
                <a:schemeClr val="accent1"/>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E6B-4595-99EB-F376CC955982}"/>
            </c:ext>
          </c:extLst>
        </c:ser>
        <c:ser>
          <c:idx val="1"/>
          <c:order val="1"/>
          <c:tx>
            <c:strRef>
              <c:f>'Pivot Tables'!$C$23:$C$24</c:f>
              <c:strCache>
                <c:ptCount val="1"/>
                <c:pt idx="0">
                  <c:v>Yes</c:v>
                </c:pt>
              </c:strCache>
            </c:strRef>
          </c:tx>
          <c:spPr>
            <a:ln w="28575" cap="rnd">
              <a:solidFill>
                <a:schemeClr val="accent2"/>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E6B-4595-99EB-F376CC955982}"/>
            </c:ext>
          </c:extLst>
        </c:ser>
        <c:dLbls>
          <c:showLegendKey val="0"/>
          <c:showVal val="0"/>
          <c:showCatName val="0"/>
          <c:showSerName val="0"/>
          <c:showPercent val="0"/>
          <c:showBubbleSize val="0"/>
        </c:dLbls>
        <c:smooth val="0"/>
        <c:axId val="1763074255"/>
        <c:axId val="1763075215"/>
      </c:lineChart>
      <c:catAx>
        <c:axId val="1763074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5215"/>
        <c:crosses val="autoZero"/>
        <c:auto val="1"/>
        <c:lblAlgn val="ctr"/>
        <c:lblOffset val="100"/>
        <c:noMultiLvlLbl val="0"/>
      </c:catAx>
      <c:valAx>
        <c:axId val="17630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Tables'!$A$44:$A$47</c:f>
              <c:strCache>
                <c:ptCount val="3"/>
                <c:pt idx="0">
                  <c:v>Adolescent</c:v>
                </c:pt>
                <c:pt idx="1">
                  <c:v>Middle Age</c:v>
                </c:pt>
                <c:pt idx="2">
                  <c:v>Old</c:v>
                </c:pt>
              </c:strCache>
            </c:strRef>
          </c:cat>
          <c:val>
            <c:numRef>
              <c:f>'Pivot Tables'!$B$44:$B$47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1BA-4129-8F0D-E1CA62B4F637}"/>
            </c:ext>
          </c:extLst>
        </c:ser>
        <c:ser>
          <c:idx val="1"/>
          <c:order val="1"/>
          <c:tx>
            <c:strRef>
              <c:f>'Pivot Tables'!$C$42:$C$43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Tables'!$A$44:$A$47</c:f>
              <c:strCache>
                <c:ptCount val="3"/>
                <c:pt idx="0">
                  <c:v>Adolescent</c:v>
                </c:pt>
                <c:pt idx="1">
                  <c:v>Middle Age</c:v>
                </c:pt>
                <c:pt idx="2">
                  <c:v>Old</c:v>
                </c:pt>
              </c:strCache>
            </c:strRef>
          </c:cat>
          <c:val>
            <c:numRef>
              <c:f>'Pivot Tables'!$C$44:$C$47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1BA-4129-8F0D-E1CA62B4F637}"/>
            </c:ext>
          </c:extLst>
        </c:ser>
        <c:dLbls>
          <c:showLegendKey val="0"/>
          <c:showVal val="0"/>
          <c:showCatName val="0"/>
          <c:showSerName val="0"/>
          <c:showPercent val="0"/>
          <c:showBubbleSize val="0"/>
        </c:dLbls>
        <c:marker val="1"/>
        <c:smooth val="0"/>
        <c:axId val="1156249488"/>
        <c:axId val="1156238448"/>
      </c:lineChart>
      <c:catAx>
        <c:axId val="11562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38448"/>
        <c:crosses val="autoZero"/>
        <c:auto val="1"/>
        <c:lblAlgn val="ctr"/>
        <c:lblOffset val="100"/>
        <c:noMultiLvlLbl val="0"/>
      </c:catAx>
      <c:valAx>
        <c:axId val="11562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6CC8-4F52-AE99-58BE8713AC04}"/>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6CC8-4F52-AE99-58BE8713AC04}"/>
            </c:ext>
          </c:extLst>
        </c:ser>
        <c:dLbls>
          <c:showLegendKey val="0"/>
          <c:showVal val="0"/>
          <c:showCatName val="0"/>
          <c:showSerName val="0"/>
          <c:showPercent val="0"/>
          <c:showBubbleSize val="0"/>
        </c:dLbls>
        <c:gapWidth val="219"/>
        <c:overlap val="-27"/>
        <c:axId val="1265229039"/>
        <c:axId val="1265236239"/>
      </c:barChart>
      <c:catAx>
        <c:axId val="1265229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36239"/>
        <c:crosses val="autoZero"/>
        <c:auto val="1"/>
        <c:lblAlgn val="ctr"/>
        <c:lblOffset val="100"/>
        <c:noMultiLvlLbl val="0"/>
      </c:catAx>
      <c:valAx>
        <c:axId val="1265236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290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Tables'!$B$23:$B$24</c:f>
              <c:strCache>
                <c:ptCount val="1"/>
                <c:pt idx="0">
                  <c:v>No</c:v>
                </c:pt>
              </c:strCache>
            </c:strRef>
          </c:tx>
          <c:spPr>
            <a:ln w="28575" cap="rnd">
              <a:solidFill>
                <a:schemeClr val="accent1"/>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3F4-466F-A869-4A8630F8B488}"/>
            </c:ext>
          </c:extLst>
        </c:ser>
        <c:ser>
          <c:idx val="1"/>
          <c:order val="1"/>
          <c:tx>
            <c:strRef>
              <c:f>'Pivot Tables'!$C$23:$C$24</c:f>
              <c:strCache>
                <c:ptCount val="1"/>
                <c:pt idx="0">
                  <c:v>Yes</c:v>
                </c:pt>
              </c:strCache>
            </c:strRef>
          </c:tx>
          <c:spPr>
            <a:ln w="28575" cap="rnd">
              <a:solidFill>
                <a:schemeClr val="accent2"/>
              </a:solidFill>
              <a:round/>
            </a:ln>
            <a:effectLst/>
          </c:spPr>
          <c:marker>
            <c:symbol val="none"/>
          </c:marker>
          <c:cat>
            <c:strRef>
              <c:f>'Pivot Tables'!$A$25:$A$30</c:f>
              <c:strCache>
                <c:ptCount val="5"/>
                <c:pt idx="0">
                  <c:v>0-1 Miles</c:v>
                </c:pt>
                <c:pt idx="1">
                  <c:v>1-2 Miles</c:v>
                </c:pt>
                <c:pt idx="2">
                  <c:v>2-5 Miles</c:v>
                </c:pt>
                <c:pt idx="3">
                  <c:v>5-10 Miles</c:v>
                </c:pt>
                <c:pt idx="4">
                  <c:v>More than 10 Miles</c:v>
                </c:pt>
              </c:strCache>
            </c:strRef>
          </c:cat>
          <c:val>
            <c:numRef>
              <c:f>'Pivot Tables'!$C$25:$C$30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3F4-466F-A869-4A8630F8B488}"/>
            </c:ext>
          </c:extLst>
        </c:ser>
        <c:dLbls>
          <c:showLegendKey val="0"/>
          <c:showVal val="0"/>
          <c:showCatName val="0"/>
          <c:showSerName val="0"/>
          <c:showPercent val="0"/>
          <c:showBubbleSize val="0"/>
        </c:dLbls>
        <c:smooth val="0"/>
        <c:axId val="1763074255"/>
        <c:axId val="1763075215"/>
      </c:lineChart>
      <c:catAx>
        <c:axId val="1763074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5215"/>
        <c:crosses val="autoZero"/>
        <c:auto val="1"/>
        <c:lblAlgn val="ctr"/>
        <c:lblOffset val="100"/>
        <c:noMultiLvlLbl val="0"/>
      </c:catAx>
      <c:valAx>
        <c:axId val="17630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7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Tables'!$A$44:$A$47</c:f>
              <c:strCache>
                <c:ptCount val="3"/>
                <c:pt idx="0">
                  <c:v>Adolescent</c:v>
                </c:pt>
                <c:pt idx="1">
                  <c:v>Middle Age</c:v>
                </c:pt>
                <c:pt idx="2">
                  <c:v>Old</c:v>
                </c:pt>
              </c:strCache>
            </c:strRef>
          </c:cat>
          <c:val>
            <c:numRef>
              <c:f>'Pivot Tables'!$B$44:$B$47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99B-4524-BD3F-8B32577295DA}"/>
            </c:ext>
          </c:extLst>
        </c:ser>
        <c:ser>
          <c:idx val="1"/>
          <c:order val="1"/>
          <c:tx>
            <c:strRef>
              <c:f>'Pivot Tables'!$C$42:$C$43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Tables'!$A$44:$A$47</c:f>
              <c:strCache>
                <c:ptCount val="3"/>
                <c:pt idx="0">
                  <c:v>Adolescent</c:v>
                </c:pt>
                <c:pt idx="1">
                  <c:v>Middle Age</c:v>
                </c:pt>
                <c:pt idx="2">
                  <c:v>Old</c:v>
                </c:pt>
              </c:strCache>
            </c:strRef>
          </c:cat>
          <c:val>
            <c:numRef>
              <c:f>'Pivot Tables'!$C$44:$C$47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99B-4524-BD3F-8B32577295DA}"/>
            </c:ext>
          </c:extLst>
        </c:ser>
        <c:dLbls>
          <c:showLegendKey val="0"/>
          <c:showVal val="0"/>
          <c:showCatName val="0"/>
          <c:showSerName val="0"/>
          <c:showPercent val="0"/>
          <c:showBubbleSize val="0"/>
        </c:dLbls>
        <c:marker val="1"/>
        <c:smooth val="0"/>
        <c:axId val="1156249488"/>
        <c:axId val="1156238448"/>
      </c:lineChart>
      <c:catAx>
        <c:axId val="11562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38448"/>
        <c:crosses val="autoZero"/>
        <c:auto val="1"/>
        <c:lblAlgn val="ctr"/>
        <c:lblOffset val="100"/>
        <c:noMultiLvlLbl val="0"/>
      </c:catAx>
      <c:valAx>
        <c:axId val="11562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Tables'!$A$44:$A$47</c:f>
              <c:strCache>
                <c:ptCount val="3"/>
                <c:pt idx="0">
                  <c:v>Adolescent</c:v>
                </c:pt>
                <c:pt idx="1">
                  <c:v>Middle Age</c:v>
                </c:pt>
                <c:pt idx="2">
                  <c:v>Old</c:v>
                </c:pt>
              </c:strCache>
            </c:strRef>
          </c:cat>
          <c:val>
            <c:numRef>
              <c:f>'Pivot Tables'!$B$44:$B$47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C8D-4919-9BE3-18BDFC6E57EC}"/>
            </c:ext>
          </c:extLst>
        </c:ser>
        <c:ser>
          <c:idx val="1"/>
          <c:order val="1"/>
          <c:tx>
            <c:strRef>
              <c:f>'Pivot Tables'!$C$42:$C$43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Tables'!$A$44:$A$47</c:f>
              <c:strCache>
                <c:ptCount val="3"/>
                <c:pt idx="0">
                  <c:v>Adolescent</c:v>
                </c:pt>
                <c:pt idx="1">
                  <c:v>Middle Age</c:v>
                </c:pt>
                <c:pt idx="2">
                  <c:v>Old</c:v>
                </c:pt>
              </c:strCache>
            </c:strRef>
          </c:cat>
          <c:val>
            <c:numRef>
              <c:f>'Pivot Tables'!$C$44:$C$47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C8D-4919-9BE3-18BDFC6E57EC}"/>
            </c:ext>
          </c:extLst>
        </c:ser>
        <c:dLbls>
          <c:showLegendKey val="0"/>
          <c:showVal val="0"/>
          <c:showCatName val="0"/>
          <c:showSerName val="0"/>
          <c:showPercent val="0"/>
          <c:showBubbleSize val="0"/>
        </c:dLbls>
        <c:marker val="1"/>
        <c:smooth val="0"/>
        <c:axId val="1156249488"/>
        <c:axId val="1156238448"/>
      </c:lineChart>
      <c:catAx>
        <c:axId val="11562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38448"/>
        <c:crosses val="autoZero"/>
        <c:auto val="1"/>
        <c:lblAlgn val="ctr"/>
        <c:lblOffset val="100"/>
        <c:noMultiLvlLbl val="0"/>
      </c:catAx>
      <c:valAx>
        <c:axId val="11562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2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120650</xdr:colOff>
      <xdr:row>3</xdr:row>
      <xdr:rowOff>57150</xdr:rowOff>
    </xdr:from>
    <xdr:to>
      <xdr:col>11</xdr:col>
      <xdr:colOff>425450</xdr:colOff>
      <xdr:row>18</xdr:row>
      <xdr:rowOff>38100</xdr:rowOff>
    </xdr:to>
    <xdr:graphicFrame macro="">
      <xdr:nvGraphicFramePr>
        <xdr:cNvPr id="2" name="Chart 1">
          <a:extLst>
            <a:ext uri="{FF2B5EF4-FFF2-40B4-BE49-F238E27FC236}">
              <a16:creationId xmlns:a16="http://schemas.microsoft.com/office/drawing/2014/main" id="{E4144F8E-55AE-4330-CEA2-A6431D65C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241300</xdr:colOff>
      <xdr:row>21</xdr:row>
      <xdr:rowOff>133350</xdr:rowOff>
    </xdr:from>
    <xdr:to>
      <xdr:col>11</xdr:col>
      <xdr:colOff>546100</xdr:colOff>
      <xdr:row>36</xdr:row>
      <xdr:rowOff>114300</xdr:rowOff>
    </xdr:to>
    <xdr:graphicFrame macro="">
      <xdr:nvGraphicFramePr>
        <xdr:cNvPr id="3" name="Chart 2">
          <a:extLst>
            <a:ext uri="{FF2B5EF4-FFF2-40B4-BE49-F238E27FC236}">
              <a16:creationId xmlns:a16="http://schemas.microsoft.com/office/drawing/2014/main" id="{2087B0D7-0AF9-13CB-1BBD-1D4CD2D7A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38</xdr:row>
      <xdr:rowOff>82550</xdr:rowOff>
    </xdr:from>
    <xdr:to>
      <xdr:col>11</xdr:col>
      <xdr:colOff>527050</xdr:colOff>
      <xdr:row>53</xdr:row>
      <xdr:rowOff>63500</xdr:rowOff>
    </xdr:to>
    <xdr:graphicFrame macro="">
      <xdr:nvGraphicFramePr>
        <xdr:cNvPr id="5" name="Chart 4">
          <a:extLst>
            <a:ext uri="{FF2B5EF4-FFF2-40B4-BE49-F238E27FC236}">
              <a16:creationId xmlns:a16="http://schemas.microsoft.com/office/drawing/2014/main" id="{E5C29C74-5C1C-BCA4-AC2D-390157C0C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31750</xdr:rowOff>
    </xdr:from>
    <xdr:to>
      <xdr:col>10</xdr:col>
      <xdr:colOff>304800</xdr:colOff>
      <xdr:row>20</xdr:row>
      <xdr:rowOff>12700</xdr:rowOff>
    </xdr:to>
    <xdr:graphicFrame macro="">
      <xdr:nvGraphicFramePr>
        <xdr:cNvPr id="2" name="Chart 1">
          <a:extLst>
            <a:ext uri="{FF2B5EF4-FFF2-40B4-BE49-F238E27FC236}">
              <a16:creationId xmlns:a16="http://schemas.microsoft.com/office/drawing/2014/main" id="{052D73A4-0C7F-48DB-A3EF-C1248A58B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311150</xdr:colOff>
      <xdr:row>5</xdr:row>
      <xdr:rowOff>38100</xdr:rowOff>
    </xdr:from>
    <xdr:to>
      <xdr:col>18</xdr:col>
      <xdr:colOff>6350</xdr:colOff>
      <xdr:row>20</xdr:row>
      <xdr:rowOff>19050</xdr:rowOff>
    </xdr:to>
    <xdr:graphicFrame macro="">
      <xdr:nvGraphicFramePr>
        <xdr:cNvPr id="3" name="Chart 2">
          <a:extLst>
            <a:ext uri="{FF2B5EF4-FFF2-40B4-BE49-F238E27FC236}">
              <a16:creationId xmlns:a16="http://schemas.microsoft.com/office/drawing/2014/main" id="{D3E4FE0E-FDCC-4E80-AC95-A0282B8CF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12</xdr:col>
      <xdr:colOff>304800</xdr:colOff>
      <xdr:row>54</xdr:row>
      <xdr:rowOff>165100</xdr:rowOff>
    </xdr:to>
    <xdr:graphicFrame macro="">
      <xdr:nvGraphicFramePr>
        <xdr:cNvPr id="4" name="Chart 3">
          <a:extLst>
            <a:ext uri="{FF2B5EF4-FFF2-40B4-BE49-F238E27FC236}">
              <a16:creationId xmlns:a16="http://schemas.microsoft.com/office/drawing/2014/main" id="{A219D86F-1BA9-4F3D-BA93-694BDABF0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xdr:colOff>
      <xdr:row>20</xdr:row>
      <xdr:rowOff>44450</xdr:rowOff>
    </xdr:from>
    <xdr:to>
      <xdr:col>18</xdr:col>
      <xdr:colOff>12700</xdr:colOff>
      <xdr:row>35</xdr:row>
      <xdr:rowOff>25400</xdr:rowOff>
    </xdr:to>
    <xdr:graphicFrame macro="">
      <xdr:nvGraphicFramePr>
        <xdr:cNvPr id="5" name="Chart 4">
          <a:extLst>
            <a:ext uri="{FF2B5EF4-FFF2-40B4-BE49-F238E27FC236}">
              <a16:creationId xmlns:a16="http://schemas.microsoft.com/office/drawing/2014/main" id="{9CBEE517-93C8-40E5-B7FD-ECDBB2C35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31751</xdr:rowOff>
    </xdr:from>
    <xdr:to>
      <xdr:col>2</xdr:col>
      <xdr:colOff>558800</xdr:colOff>
      <xdr:row>10</xdr:row>
      <xdr:rowOff>82551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B74DA70-3985-3403-EAE8-AF4CF2D0951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52501"/>
              <a:ext cx="17780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165101</xdr:rowOff>
    </xdr:from>
    <xdr:to>
      <xdr:col>2</xdr:col>
      <xdr:colOff>463550</xdr:colOff>
      <xdr:row>26</xdr:row>
      <xdr:rowOff>82551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F7428D6-8F18-B3CC-664D-87529CC6D8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11501"/>
              <a:ext cx="1682750" cy="175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10</xdr:row>
      <xdr:rowOff>95251</xdr:rowOff>
    </xdr:from>
    <xdr:to>
      <xdr:col>2</xdr:col>
      <xdr:colOff>501650</xdr:colOff>
      <xdr:row>16</xdr:row>
      <xdr:rowOff>120651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B27F770-4783-5ACE-104F-DD6B3C1D93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 y="1936751"/>
              <a:ext cx="17145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Awais Ansari" refreshedDate="46067.679949074074" createdVersion="8" refreshedVersion="8" minRefreshableVersion="3" recordCount="1000" xr:uid="{D795281B-243A-4A19-B782-261D983340C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2097487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610DC-2114-40D4-966F-E473F02B045E}"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D4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CC85A-2742-4B8A-BB64-0760C6A6342D}"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9924F-AFBC-48FC-AE3A-C5543751E05F}"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BC2AF81-AB9F-40B6-82B5-23C20BA56E9C}" sourceName="Marital Status">
  <pivotTables>
    <pivotTable tabId="5" name="PivotTable1"/>
    <pivotTable tabId="5" name="PivotTable2"/>
    <pivotTable tabId="5" name="PivotTable3"/>
  </pivotTables>
  <data>
    <tabular pivotCacheId="20974872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D238BB-452D-4030-98FB-C56D7496775A}" sourceName="Education">
  <pivotTables>
    <pivotTable tabId="5" name="PivotTable1"/>
    <pivotTable tabId="5" name="PivotTable2"/>
    <pivotTable tabId="5" name="PivotTable3"/>
  </pivotTables>
  <data>
    <tabular pivotCacheId="20974872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9DD216-66DC-41E7-98E0-BE5AE929B5CB}" sourceName="Region">
  <pivotTables>
    <pivotTable tabId="5" name="PivotTable1"/>
    <pivotTable tabId="5" name="PivotTable2"/>
    <pivotTable tabId="5" name="PivotTable3"/>
  </pivotTables>
  <data>
    <tabular pivotCacheId="20974872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D3C9F56-D61C-4D73-998A-CB0CDBCB5A2B}" cache="Slicer_Marital_Status" caption="Marital Status" rowHeight="241300"/>
  <slicer name="Education" xr10:uid="{31CCF3AB-0022-4FF8-B655-5C58C4B3A553}" cache="Slicer_Education" caption="Education" rowHeight="241300"/>
  <slicer name="Region" xr10:uid="{60C0B0AE-21BB-4A46-ACC9-B246381F6AB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 max="1" width="5.81640625" bestFit="1" customWidth="1"/>
    <col min="2" max="2" width="12.36328125" bestFit="1" customWidth="1"/>
    <col min="3" max="3" width="7" bestFit="1"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C440-A9CF-4FAD-909F-8BE4766DCF33}">
  <dimension ref="A1:N1001"/>
  <sheetViews>
    <sheetView topLeftCell="D1" workbookViewId="0">
      <selection activeCell="M2" sqref="M2:M1001"/>
    </sheetView>
  </sheetViews>
  <sheetFormatPr defaultColWidth="15" defaultRowHeight="14.5" x14ac:dyDescent="0.35"/>
  <cols>
    <col min="4" max="4" width="15" style="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1">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1">
        <v>80000</v>
      </c>
      <c r="E79">
        <v>0</v>
      </c>
      <c r="F79" t="s">
        <v>13</v>
      </c>
      <c r="G79" t="s">
        <v>21</v>
      </c>
      <c r="H79" t="s">
        <v>15</v>
      </c>
      <c r="I79">
        <v>2</v>
      </c>
      <c r="J79" t="s">
        <v>47</v>
      </c>
      <c r="K79" t="s">
        <v>24</v>
      </c>
      <c r="L79">
        <v>29</v>
      </c>
      <c r="M79" t="str">
        <f t="shared" si="1"/>
        <v>Adolescent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1">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1">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38</v>
      </c>
      <c r="D190" s="1">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38</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1">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1">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1">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1">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38</v>
      </c>
      <c r="D332" s="1">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1">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1">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1">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1">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1">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38</v>
      </c>
      <c r="D711" s="1">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38</v>
      </c>
      <c r="D815" s="1">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1">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38</v>
      </c>
      <c r="D901" s="1">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38</v>
      </c>
      <c r="D989" s="1">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xr:uid="{41ABC440-A9CF-4FAD-909F-8BE4766DCF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97DF-59DA-4DF5-A26A-0C6C5E65ADDB}">
  <dimension ref="A3:E47"/>
  <sheetViews>
    <sheetView topLeftCell="A29" workbookViewId="0">
      <selection activeCell="C42" sqref="C42"/>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5" x14ac:dyDescent="0.35">
      <c r="A3" s="3" t="s">
        <v>44</v>
      </c>
      <c r="B3" s="3" t="s">
        <v>45</v>
      </c>
      <c r="E3" t="s">
        <v>41</v>
      </c>
    </row>
    <row r="4" spans="1:5" x14ac:dyDescent="0.35">
      <c r="A4" s="3" t="s">
        <v>42</v>
      </c>
      <c r="B4" t="s">
        <v>18</v>
      </c>
      <c r="C4" t="s">
        <v>15</v>
      </c>
      <c r="D4" t="s">
        <v>43</v>
      </c>
    </row>
    <row r="5" spans="1:5" x14ac:dyDescent="0.35">
      <c r="A5" s="4" t="s">
        <v>38</v>
      </c>
      <c r="B5" s="5">
        <v>53440</v>
      </c>
      <c r="C5" s="5">
        <v>55774.058577405856</v>
      </c>
      <c r="D5" s="5">
        <v>54580.777096114522</v>
      </c>
    </row>
    <row r="6" spans="1:5" x14ac:dyDescent="0.35">
      <c r="A6" s="4" t="s">
        <v>39</v>
      </c>
      <c r="B6" s="5">
        <v>56208.178438661707</v>
      </c>
      <c r="C6" s="5">
        <v>60123.966942148763</v>
      </c>
      <c r="D6" s="5">
        <v>58062.62230919765</v>
      </c>
    </row>
    <row r="7" spans="1:5" x14ac:dyDescent="0.35">
      <c r="A7" s="4" t="s">
        <v>43</v>
      </c>
      <c r="B7" s="5">
        <v>54874.759152215796</v>
      </c>
      <c r="C7" s="5">
        <v>57962.577962577961</v>
      </c>
      <c r="D7" s="5">
        <v>56360</v>
      </c>
    </row>
    <row r="23" spans="1:4" x14ac:dyDescent="0.35">
      <c r="A23" s="3" t="s">
        <v>46</v>
      </c>
      <c r="B23" s="3" t="s">
        <v>45</v>
      </c>
    </row>
    <row r="24" spans="1:4" x14ac:dyDescent="0.35">
      <c r="A24" s="3" t="s">
        <v>42</v>
      </c>
      <c r="B24" t="s">
        <v>18</v>
      </c>
      <c r="C24" t="s">
        <v>15</v>
      </c>
      <c r="D24" t="s">
        <v>43</v>
      </c>
    </row>
    <row r="25" spans="1:4" x14ac:dyDescent="0.35">
      <c r="A25" s="4" t="s">
        <v>16</v>
      </c>
      <c r="B25" s="6">
        <v>166</v>
      </c>
      <c r="C25" s="6">
        <v>200</v>
      </c>
      <c r="D25" s="6">
        <v>366</v>
      </c>
    </row>
    <row r="26" spans="1:4" x14ac:dyDescent="0.35">
      <c r="A26" s="4" t="s">
        <v>26</v>
      </c>
      <c r="B26" s="6">
        <v>92</v>
      </c>
      <c r="C26" s="6">
        <v>77</v>
      </c>
      <c r="D26" s="6">
        <v>169</v>
      </c>
    </row>
    <row r="27" spans="1:4" x14ac:dyDescent="0.35">
      <c r="A27" s="4" t="s">
        <v>22</v>
      </c>
      <c r="B27" s="6">
        <v>67</v>
      </c>
      <c r="C27" s="6">
        <v>95</v>
      </c>
      <c r="D27" s="6">
        <v>162</v>
      </c>
    </row>
    <row r="28" spans="1:4" x14ac:dyDescent="0.35">
      <c r="A28" s="4" t="s">
        <v>23</v>
      </c>
      <c r="B28" s="6">
        <v>116</v>
      </c>
      <c r="C28" s="6">
        <v>76</v>
      </c>
      <c r="D28" s="6">
        <v>192</v>
      </c>
    </row>
    <row r="29" spans="1:4" x14ac:dyDescent="0.35">
      <c r="A29" s="4" t="s">
        <v>47</v>
      </c>
      <c r="B29" s="6">
        <v>78</v>
      </c>
      <c r="C29" s="6">
        <v>33</v>
      </c>
      <c r="D29" s="6">
        <v>111</v>
      </c>
    </row>
    <row r="30" spans="1:4" x14ac:dyDescent="0.35">
      <c r="A30" s="4" t="s">
        <v>43</v>
      </c>
      <c r="B30" s="6">
        <v>519</v>
      </c>
      <c r="C30" s="6">
        <v>481</v>
      </c>
      <c r="D30" s="6">
        <v>1000</v>
      </c>
    </row>
    <row r="42" spans="1:4" x14ac:dyDescent="0.35">
      <c r="A42" s="3" t="s">
        <v>46</v>
      </c>
      <c r="B42" s="3" t="s">
        <v>45</v>
      </c>
    </row>
    <row r="43" spans="1:4" x14ac:dyDescent="0.35">
      <c r="A43" s="3" t="s">
        <v>42</v>
      </c>
      <c r="B43" t="s">
        <v>18</v>
      </c>
      <c r="C43" t="s">
        <v>15</v>
      </c>
      <c r="D43" t="s">
        <v>43</v>
      </c>
    </row>
    <row r="44" spans="1:4" x14ac:dyDescent="0.35">
      <c r="A44" s="4" t="s">
        <v>48</v>
      </c>
      <c r="B44" s="6">
        <v>71</v>
      </c>
      <c r="C44" s="6">
        <v>39</v>
      </c>
      <c r="D44" s="6">
        <v>110</v>
      </c>
    </row>
    <row r="45" spans="1:4" x14ac:dyDescent="0.35">
      <c r="A45" s="4" t="s">
        <v>49</v>
      </c>
      <c r="B45" s="6">
        <v>318</v>
      </c>
      <c r="C45" s="6">
        <v>383</v>
      </c>
      <c r="D45" s="6">
        <v>701</v>
      </c>
    </row>
    <row r="46" spans="1:4" x14ac:dyDescent="0.35">
      <c r="A46" s="4" t="s">
        <v>50</v>
      </c>
      <c r="B46" s="6">
        <v>130</v>
      </c>
      <c r="C46" s="6">
        <v>59</v>
      </c>
      <c r="D46" s="6">
        <v>189</v>
      </c>
    </row>
    <row r="47" spans="1:4" x14ac:dyDescent="0.35">
      <c r="A47" s="4" t="s">
        <v>43</v>
      </c>
      <c r="B47" s="6">
        <v>519</v>
      </c>
      <c r="C47" s="6">
        <v>481</v>
      </c>
      <c r="D47"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B902-2167-44CE-A9C2-7477D220FE6F}">
  <dimension ref="A1:S5"/>
  <sheetViews>
    <sheetView showGridLines="0" tabSelected="1" workbookViewId="0">
      <selection activeCell="B7" sqref="B7"/>
    </sheetView>
  </sheetViews>
  <sheetFormatPr defaultRowHeight="14.5" x14ac:dyDescent="0.35"/>
  <sheetData>
    <row r="1" spans="1:19" x14ac:dyDescent="0.35">
      <c r="A1" s="7" t="s">
        <v>51</v>
      </c>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8"/>
      <c r="C4" s="8"/>
      <c r="D4" s="8"/>
      <c r="E4" s="8"/>
      <c r="F4" s="8"/>
      <c r="G4" s="8"/>
      <c r="H4" s="8"/>
      <c r="I4" s="8"/>
      <c r="J4" s="8"/>
      <c r="K4" s="8"/>
      <c r="L4" s="8"/>
      <c r="M4" s="8"/>
      <c r="N4" s="8"/>
      <c r="O4" s="8"/>
      <c r="P4" s="8"/>
      <c r="Q4" s="8"/>
      <c r="R4" s="8"/>
      <c r="S4" s="8"/>
    </row>
    <row r="5" spans="1:19" x14ac:dyDescent="0.35">
      <c r="A5" s="8"/>
      <c r="B5" s="8"/>
      <c r="C5" s="8"/>
      <c r="D5" s="8"/>
      <c r="E5" s="8"/>
      <c r="F5" s="8"/>
      <c r="G5" s="8"/>
      <c r="H5" s="8"/>
      <c r="I5" s="8"/>
      <c r="J5" s="8"/>
      <c r="K5" s="8"/>
      <c r="L5" s="8"/>
      <c r="M5" s="8"/>
      <c r="N5" s="8"/>
      <c r="O5" s="8"/>
      <c r="P5" s="8"/>
      <c r="Q5" s="8"/>
      <c r="R5" s="8"/>
      <c r="S5" s="8"/>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Awais Ansari</dc:creator>
  <cp:lastModifiedBy>M. Awais Ansari</cp:lastModifiedBy>
  <dcterms:created xsi:type="dcterms:W3CDTF">2022-03-18T02:50:57Z</dcterms:created>
  <dcterms:modified xsi:type="dcterms:W3CDTF">2026-02-14T21:31:48Z</dcterms:modified>
</cp:coreProperties>
</file>